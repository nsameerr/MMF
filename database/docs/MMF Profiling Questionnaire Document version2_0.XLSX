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autoCompressPictures="0" defaultThemeVersion="124226"/>
  <bookViews>
    <workbookView xWindow="0" yWindow="0" windowWidth="18180" windowHeight="8235" activeTab="1"/>
  </bookViews>
  <sheets>
    <sheet name="Questionnaire" sheetId="4" r:id="rId1"/>
    <sheet name="Portfolio Type" sheetId="6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7" i="6"/>
  <c r="Q6"/>
  <c r="Q5"/>
  <c r="Q4"/>
  <c r="Q3"/>
  <c r="O7"/>
  <c r="O6"/>
  <c r="O5"/>
  <c r="O4"/>
  <c r="O3"/>
</calcChain>
</file>

<file path=xl/sharedStrings.xml><?xml version="1.0" encoding="utf-8"?>
<sst xmlns="http://schemas.openxmlformats.org/spreadsheetml/2006/main" count="154" uniqueCount="90">
  <si>
    <t>I have adequate knowledge of investing in the stock market</t>
  </si>
  <si>
    <t>I find it hard to pick the right investments to generate adequate returns.</t>
  </si>
  <si>
    <t>Number of years before I retire</t>
  </si>
  <si>
    <t>My current job/business and related income is more or less stable</t>
  </si>
  <si>
    <t>I am comfortable investing in Fixed Deposit/Gold rather than invest in Equities or Mutual Funds</t>
  </si>
  <si>
    <t>I prefer investing in Equities to generate long term superior returns than invest in fixed deposits for moderate returns in the short term</t>
  </si>
  <si>
    <t>I would be disappointed if my portfolio generated returns lower than fixed deposits for a few years even if the annual growth over five years would average above 15%</t>
  </si>
  <si>
    <t>I have the financial support of my family members/spouse in reaching my financial goals.</t>
  </si>
  <si>
    <t>What is the extent of insurance cover due you have for life's uncertainities such as theft, accident, disease, physical disability, death, etc.</t>
  </si>
  <si>
    <t>Are you comfortable borrowing money to invest in the stock markets?</t>
  </si>
  <si>
    <t>When the share price of a company with bright prospects falls to its lowest levels I buy more of that company's stock</t>
  </si>
  <si>
    <t>When the market declines, I shift to safer investments such as fixed deposits/Gold</t>
  </si>
  <si>
    <t>Strongly Disagree</t>
  </si>
  <si>
    <t>Strongly Agree</t>
  </si>
  <si>
    <t>Disagree</t>
  </si>
  <si>
    <t>Agree</t>
  </si>
  <si>
    <t>No strong opinion</t>
  </si>
  <si>
    <t>Less than 10%</t>
  </si>
  <si>
    <t>More than 50%</t>
  </si>
  <si>
    <t>30% to 49%</t>
  </si>
  <si>
    <t>10% to 19%</t>
  </si>
  <si>
    <t>20% to 29%</t>
  </si>
  <si>
    <t>What percentage of loss in portfolio value within single year can you tolerate given the chance of generating greater than 20% annually over a five year period</t>
  </si>
  <si>
    <t>Almost zero</t>
  </si>
  <si>
    <t>Low</t>
  </si>
  <si>
    <t>Moderate</t>
  </si>
  <si>
    <t>Very High</t>
  </si>
  <si>
    <t>High</t>
  </si>
  <si>
    <t>Zero</t>
  </si>
  <si>
    <t>Retired</t>
  </si>
  <si>
    <t>Less than 10</t>
  </si>
  <si>
    <t>11 to 20 years</t>
  </si>
  <si>
    <t>21 to 30 years</t>
  </si>
  <si>
    <t>more than 30 years</t>
  </si>
  <si>
    <t>Less than 1%</t>
  </si>
  <si>
    <t>More than 5%</t>
  </si>
  <si>
    <t>End of one year</t>
  </si>
  <si>
    <t>Beyond 20 years</t>
  </si>
  <si>
    <t>In 2 to 5 years</t>
  </si>
  <si>
    <t>In 6 to 10 years</t>
  </si>
  <si>
    <t>In 11 to 20 years</t>
  </si>
  <si>
    <t>Value</t>
  </si>
  <si>
    <t>Less than 10 times</t>
  </si>
  <si>
    <t>21 to 30 times</t>
  </si>
  <si>
    <t>31 to 40 times</t>
  </si>
  <si>
    <t>More than 40 times</t>
  </si>
  <si>
    <t>11 to 20 times</t>
  </si>
  <si>
    <t>The proportion of the future financial obligation as compared to my current savings is</t>
  </si>
  <si>
    <t>I anticipate a significant increase in my spending over the coming years to meet my aspirations.</t>
  </si>
  <si>
    <t>Conservative</t>
  </si>
  <si>
    <t>Moderately Conservative</t>
  </si>
  <si>
    <t>Moderately Aggressive</t>
  </si>
  <si>
    <t>Aggressive</t>
  </si>
  <si>
    <t>Investor Profile</t>
  </si>
  <si>
    <t>Income</t>
  </si>
  <si>
    <t>Aggressive Growth</t>
  </si>
  <si>
    <t>Growth</t>
  </si>
  <si>
    <t>GARP</t>
  </si>
  <si>
    <t>International</t>
  </si>
  <si>
    <t>F&amp;O</t>
  </si>
  <si>
    <t>Min Score</t>
  </si>
  <si>
    <t>Max Score</t>
  </si>
  <si>
    <t>Cash</t>
  </si>
  <si>
    <t>Total</t>
  </si>
  <si>
    <t>Risk Profiling Questionnaire</t>
  </si>
  <si>
    <t>Questions</t>
  </si>
  <si>
    <t>Answer Options &amp; corresponding Weights</t>
  </si>
  <si>
    <t>QuestionId</t>
  </si>
  <si>
    <t>Portfolio Type</t>
  </si>
  <si>
    <t xml:space="preserve">GOLD </t>
  </si>
  <si>
    <t>Equities -Index</t>
  </si>
  <si>
    <t>Equities - Bluechip</t>
  </si>
  <si>
    <t>Equities - MidCap</t>
  </si>
  <si>
    <t>Equities - Small Cap</t>
  </si>
  <si>
    <t>Commodities</t>
  </si>
  <si>
    <t>Currencies</t>
  </si>
  <si>
    <t>Future Release</t>
  </si>
  <si>
    <t>Debt</t>
  </si>
  <si>
    <t>I have accrued savings/assets which will support my current lifestyle into the future</t>
  </si>
  <si>
    <t xml:space="preserve">I need to annually withdraw x% cash from my portfolio to meet my ongoing needs, where x% is </t>
  </si>
  <si>
    <t xml:space="preserve">I have a significantly large financial obligation due </t>
  </si>
  <si>
    <t>What is the extent of your liabilities (home loan or credit card bill outstanding)?</t>
  </si>
  <si>
    <t>Less than 20%</t>
  </si>
  <si>
    <t>21% to 40%</t>
  </si>
  <si>
    <t>41% to 60%</t>
  </si>
  <si>
    <t>61% to 80%</t>
  </si>
  <si>
    <t>81% to 100%</t>
  </si>
  <si>
    <t>What percentage of your assets are you planning to invest?</t>
  </si>
  <si>
    <t>All of these are Asset class?, if What are the securities under each</t>
  </si>
  <si>
    <t>Portfolio characteristics calculation</t>
  </si>
</sst>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_-* #,##0_-;\-* #,##0_-;_-* &quot;-&quot;??_-;_-@_-"/>
    <numFmt numFmtId="166" formatCode="0.0%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3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9" fontId="0" fillId="0" borderId="0" xfId="0" applyNumberFormat="1"/>
    <xf numFmtId="9" fontId="0" fillId="0" borderId="0" xfId="14" applyFont="1"/>
    <xf numFmtId="165" fontId="0" fillId="0" borderId="0" xfId="13" applyNumberFormat="1" applyFont="1"/>
    <xf numFmtId="166" fontId="0" fillId="0" borderId="0" xfId="14" applyNumberFormat="1" applyFont="1"/>
    <xf numFmtId="0" fontId="0" fillId="0" borderId="0" xfId="0" applyFont="1"/>
    <xf numFmtId="165" fontId="4" fillId="0" borderId="0" xfId="13" applyNumberFormat="1" applyFont="1"/>
    <xf numFmtId="10" fontId="0" fillId="0" borderId="0" xfId="0" applyNumberFormat="1"/>
    <xf numFmtId="0" fontId="0" fillId="0" borderId="0" xfId="0" applyFill="1" applyAlignment="1">
      <alignment wrapText="1"/>
    </xf>
    <xf numFmtId="0" fontId="5" fillId="0" borderId="1" xfId="0" applyFont="1" applyBorder="1"/>
    <xf numFmtId="0" fontId="5" fillId="0" borderId="0" xfId="0" applyFont="1" applyFill="1" applyBorder="1"/>
    <xf numFmtId="0" fontId="4" fillId="0" borderId="0" xfId="0" applyFont="1" applyAlignment="1">
      <alignment horizontal="center"/>
    </xf>
  </cellXfs>
  <cellStyles count="35">
    <cellStyle name="Comma" xfId="13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Normal" xfId="0" builtinId="0"/>
    <cellStyle name="Percent" xfId="14" builtinId="5"/>
  </cellStyles>
  <dxfs count="8"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general" vertical="bottom" textRotation="0" wrapText="1" indent="0" relativeIndent="255" justifyLastLine="0" shrinkToFit="0" readingOrder="0"/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B2:O7" totalsRowShown="0">
  <tableColumns count="14">
    <tableColumn id="1" name="Investor Profile" dataDxfId="3"/>
    <tableColumn id="2" name="Portfolio Type"/>
    <tableColumn id="3" name="Min Score"/>
    <tableColumn id="4" name="Max Score"/>
    <tableColumn id="5" name="Cash" dataDxfId="2" dataCellStyle="Percent"/>
    <tableColumn id="6" name="GOLD "/>
    <tableColumn id="14" name="Debt" dataDxfId="1" dataCellStyle="Percent"/>
    <tableColumn id="7" name="Equities -Index"/>
    <tableColumn id="8" name="Equities - Bluechip"/>
    <tableColumn id="9" name="Equities - MidCap"/>
    <tableColumn id="10" name="Equities - Small Cap"/>
    <tableColumn id="11" name="F&amp;O"/>
    <tableColumn id="12" name="International"/>
    <tableColumn id="13" name="Total" dataDxfId="0">
      <calculatedColumnFormula>SUM(F3:N3)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rgb="FF008000"/>
  </sheetPr>
  <dimension ref="A1:J63"/>
  <sheetViews>
    <sheetView workbookViewId="0"/>
  </sheetViews>
  <sheetFormatPr defaultColWidth="8.85546875" defaultRowHeight="15"/>
  <cols>
    <col min="1" max="1" width="12.85546875" style="8" bestFit="1" customWidth="1"/>
    <col min="2" max="2" width="12.85546875" style="8" customWidth="1"/>
    <col min="3" max="3" width="94.7109375" style="2" customWidth="1"/>
    <col min="4" max="4" width="16.42578125" bestFit="1" customWidth="1"/>
    <col min="5" max="5" width="13.140625" bestFit="1" customWidth="1"/>
    <col min="6" max="6" width="17" bestFit="1" customWidth="1"/>
    <col min="7" max="7" width="15.140625" bestFit="1" customWidth="1"/>
    <col min="8" max="8" width="18" bestFit="1" customWidth="1"/>
    <col min="10" max="10" width="8.85546875" style="1"/>
  </cols>
  <sheetData>
    <row r="1" spans="3:10">
      <c r="C1" s="3" t="s">
        <v>64</v>
      </c>
    </row>
    <row r="2" spans="3:10">
      <c r="C2" s="3"/>
    </row>
    <row r="3" spans="3:10" s="1" customFormat="1">
      <c r="C3" s="3" t="s">
        <v>65</v>
      </c>
      <c r="D3" s="14" t="s">
        <v>66</v>
      </c>
      <c r="E3" s="14"/>
      <c r="F3" s="14"/>
      <c r="G3" s="14"/>
      <c r="H3" s="14"/>
      <c r="J3" s="1" t="s">
        <v>67</v>
      </c>
    </row>
    <row r="5" spans="3:10">
      <c r="C5" s="2" t="s">
        <v>0</v>
      </c>
      <c r="D5" t="s">
        <v>12</v>
      </c>
      <c r="E5" t="s">
        <v>14</v>
      </c>
      <c r="F5" t="s">
        <v>16</v>
      </c>
      <c r="G5" t="s">
        <v>15</v>
      </c>
      <c r="H5" t="s">
        <v>13</v>
      </c>
      <c r="J5" s="1">
        <v>1</v>
      </c>
    </row>
    <row r="6" spans="3:10">
      <c r="D6">
        <v>0</v>
      </c>
      <c r="E6">
        <v>1</v>
      </c>
      <c r="F6">
        <v>2</v>
      </c>
      <c r="G6">
        <v>3</v>
      </c>
      <c r="H6">
        <v>4</v>
      </c>
    </row>
    <row r="8" spans="3:10">
      <c r="C8" s="2" t="s">
        <v>2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J8" s="1">
        <v>16</v>
      </c>
    </row>
    <row r="9" spans="3:10">
      <c r="D9">
        <v>0</v>
      </c>
      <c r="E9">
        <v>1</v>
      </c>
      <c r="F9">
        <v>2</v>
      </c>
      <c r="G9">
        <v>3</v>
      </c>
      <c r="H9">
        <v>4</v>
      </c>
    </row>
    <row r="11" spans="3:10">
      <c r="C11" s="2" t="s">
        <v>78</v>
      </c>
      <c r="D11" t="s">
        <v>12</v>
      </c>
      <c r="E11" t="s">
        <v>14</v>
      </c>
      <c r="F11" t="s">
        <v>16</v>
      </c>
      <c r="G11" t="s">
        <v>15</v>
      </c>
      <c r="H11" t="s">
        <v>13</v>
      </c>
      <c r="J11" s="1">
        <v>12</v>
      </c>
    </row>
    <row r="12" spans="3:10">
      <c r="D12">
        <v>0</v>
      </c>
      <c r="E12">
        <v>1</v>
      </c>
      <c r="F12">
        <v>2</v>
      </c>
      <c r="G12">
        <v>3</v>
      </c>
      <c r="H12">
        <v>4</v>
      </c>
    </row>
    <row r="14" spans="3:10">
      <c r="C14" s="2" t="s">
        <v>3</v>
      </c>
      <c r="D14" t="s">
        <v>12</v>
      </c>
      <c r="E14" t="s">
        <v>14</v>
      </c>
      <c r="F14" t="s">
        <v>16</v>
      </c>
      <c r="G14" t="s">
        <v>15</v>
      </c>
      <c r="H14" t="s">
        <v>13</v>
      </c>
      <c r="J14" s="1">
        <v>10</v>
      </c>
    </row>
    <row r="15" spans="3:10">
      <c r="D15">
        <v>0</v>
      </c>
      <c r="E15">
        <v>1</v>
      </c>
      <c r="F15">
        <v>2</v>
      </c>
      <c r="G15">
        <v>3</v>
      </c>
      <c r="H15">
        <v>4</v>
      </c>
    </row>
    <row r="17" spans="3:10">
      <c r="C17" s="2" t="s">
        <v>9</v>
      </c>
      <c r="D17" t="s">
        <v>12</v>
      </c>
      <c r="E17" t="s">
        <v>14</v>
      </c>
      <c r="F17" t="s">
        <v>16</v>
      </c>
      <c r="G17" t="s">
        <v>15</v>
      </c>
      <c r="H17" t="s">
        <v>13</v>
      </c>
      <c r="J17" s="1">
        <v>5</v>
      </c>
    </row>
    <row r="18" spans="3:10">
      <c r="D18">
        <v>0</v>
      </c>
      <c r="E18">
        <v>1</v>
      </c>
      <c r="F18">
        <v>2</v>
      </c>
      <c r="G18">
        <v>3</v>
      </c>
      <c r="H18">
        <v>4</v>
      </c>
    </row>
    <row r="20" spans="3:10">
      <c r="C20" s="2" t="s">
        <v>48</v>
      </c>
      <c r="D20" t="s">
        <v>12</v>
      </c>
      <c r="E20" t="s">
        <v>14</v>
      </c>
      <c r="F20" t="s">
        <v>16</v>
      </c>
      <c r="G20" t="s">
        <v>15</v>
      </c>
      <c r="H20" t="s">
        <v>13</v>
      </c>
      <c r="J20" s="1">
        <v>20</v>
      </c>
    </row>
    <row r="21" spans="3:10">
      <c r="D21">
        <v>0</v>
      </c>
      <c r="E21">
        <v>1</v>
      </c>
      <c r="F21">
        <v>2</v>
      </c>
      <c r="G21">
        <v>3</v>
      </c>
      <c r="H21">
        <v>4</v>
      </c>
    </row>
    <row r="23" spans="3:10">
      <c r="C23" s="11" t="s">
        <v>87</v>
      </c>
      <c r="D23" t="s">
        <v>82</v>
      </c>
      <c r="E23" t="s">
        <v>83</v>
      </c>
      <c r="F23" t="s">
        <v>84</v>
      </c>
      <c r="G23" t="s">
        <v>85</v>
      </c>
      <c r="H23" t="s">
        <v>86</v>
      </c>
      <c r="J23" s="1">
        <v>11</v>
      </c>
    </row>
    <row r="24" spans="3:10">
      <c r="D24">
        <v>0</v>
      </c>
      <c r="E24">
        <v>1</v>
      </c>
      <c r="F24">
        <v>2</v>
      </c>
      <c r="G24">
        <v>3</v>
      </c>
      <c r="H24">
        <v>4</v>
      </c>
    </row>
    <row r="26" spans="3:10" ht="30">
      <c r="C26" s="2" t="s">
        <v>5</v>
      </c>
      <c r="D26" t="s">
        <v>12</v>
      </c>
      <c r="E26" t="s">
        <v>14</v>
      </c>
      <c r="F26" t="s">
        <v>16</v>
      </c>
      <c r="G26" t="s">
        <v>15</v>
      </c>
      <c r="H26" t="s">
        <v>13</v>
      </c>
      <c r="J26" s="1">
        <v>7</v>
      </c>
    </row>
    <row r="27" spans="3:10">
      <c r="D27">
        <v>0</v>
      </c>
      <c r="E27">
        <v>1</v>
      </c>
      <c r="F27">
        <v>2</v>
      </c>
      <c r="G27">
        <v>3</v>
      </c>
      <c r="H27">
        <v>4</v>
      </c>
    </row>
    <row r="29" spans="3:10">
      <c r="C29" t="s">
        <v>81</v>
      </c>
      <c r="D29" t="s">
        <v>23</v>
      </c>
      <c r="E29" t="s">
        <v>24</v>
      </c>
      <c r="F29" t="s">
        <v>25</v>
      </c>
      <c r="G29" t="s">
        <v>27</v>
      </c>
      <c r="H29" t="s">
        <v>26</v>
      </c>
      <c r="J29" s="1">
        <v>14</v>
      </c>
    </row>
    <row r="30" spans="3:10">
      <c r="D30">
        <v>4</v>
      </c>
      <c r="E30">
        <v>3</v>
      </c>
      <c r="F30">
        <v>2</v>
      </c>
      <c r="G30">
        <v>1</v>
      </c>
      <c r="H30">
        <v>0</v>
      </c>
    </row>
    <row r="32" spans="3:10">
      <c r="C32" s="2" t="s">
        <v>1</v>
      </c>
      <c r="D32" t="s">
        <v>12</v>
      </c>
      <c r="E32" t="s">
        <v>14</v>
      </c>
      <c r="F32" t="s">
        <v>16</v>
      </c>
      <c r="G32" t="s">
        <v>15</v>
      </c>
      <c r="H32" t="s">
        <v>13</v>
      </c>
      <c r="J32" s="1">
        <v>2</v>
      </c>
    </row>
    <row r="33" spans="3:10">
      <c r="D33">
        <v>4</v>
      </c>
      <c r="E33">
        <v>3</v>
      </c>
      <c r="F33">
        <v>2</v>
      </c>
      <c r="G33">
        <v>1</v>
      </c>
      <c r="H33">
        <v>0</v>
      </c>
    </row>
    <row r="35" spans="3:10" ht="30">
      <c r="C35" s="2" t="s">
        <v>22</v>
      </c>
      <c r="D35" t="s">
        <v>17</v>
      </c>
      <c r="E35" t="s">
        <v>20</v>
      </c>
      <c r="F35" t="s">
        <v>21</v>
      </c>
      <c r="G35" t="s">
        <v>19</v>
      </c>
      <c r="H35" t="s">
        <v>18</v>
      </c>
      <c r="J35" s="1">
        <v>8</v>
      </c>
    </row>
    <row r="36" spans="3:10">
      <c r="D36">
        <v>0</v>
      </c>
      <c r="E36">
        <v>1</v>
      </c>
      <c r="F36">
        <v>2</v>
      </c>
      <c r="G36">
        <v>3</v>
      </c>
      <c r="H36">
        <v>4</v>
      </c>
    </row>
    <row r="38" spans="3:10">
      <c r="C38" s="2" t="s">
        <v>79</v>
      </c>
      <c r="D38" t="s">
        <v>34</v>
      </c>
      <c r="E38" s="4">
        <v>0.02</v>
      </c>
      <c r="F38" s="4">
        <v>0.03</v>
      </c>
      <c r="G38" s="4">
        <v>0.04</v>
      </c>
      <c r="H38" t="s">
        <v>35</v>
      </c>
      <c r="I38" s="6"/>
      <c r="J38" s="9">
        <v>17</v>
      </c>
    </row>
    <row r="39" spans="3:10">
      <c r="D39">
        <v>4</v>
      </c>
      <c r="E39">
        <v>3</v>
      </c>
      <c r="F39">
        <v>2</v>
      </c>
      <c r="G39">
        <v>1</v>
      </c>
      <c r="H39">
        <v>0</v>
      </c>
    </row>
    <row r="41" spans="3:10" ht="30">
      <c r="C41" s="2" t="s">
        <v>10</v>
      </c>
      <c r="D41" t="s">
        <v>12</v>
      </c>
      <c r="E41" t="s">
        <v>14</v>
      </c>
      <c r="F41" t="s">
        <v>16</v>
      </c>
      <c r="G41" t="s">
        <v>15</v>
      </c>
      <c r="H41" t="s">
        <v>13</v>
      </c>
      <c r="J41" s="1">
        <v>4</v>
      </c>
    </row>
    <row r="42" spans="3:10">
      <c r="D42">
        <v>0</v>
      </c>
      <c r="E42">
        <v>1</v>
      </c>
      <c r="F42">
        <v>2</v>
      </c>
      <c r="G42">
        <v>3</v>
      </c>
      <c r="H42">
        <v>4</v>
      </c>
    </row>
    <row r="44" spans="3:10">
      <c r="C44" s="2" t="s">
        <v>80</v>
      </c>
      <c r="D44" t="s">
        <v>36</v>
      </c>
      <c r="E44" t="s">
        <v>38</v>
      </c>
      <c r="F44" t="s">
        <v>39</v>
      </c>
      <c r="G44" t="s">
        <v>40</v>
      </c>
      <c r="H44" t="s">
        <v>37</v>
      </c>
      <c r="J44" s="1">
        <v>18</v>
      </c>
    </row>
    <row r="45" spans="3:10">
      <c r="D45">
        <v>0</v>
      </c>
      <c r="E45">
        <v>1</v>
      </c>
      <c r="F45">
        <v>2</v>
      </c>
      <c r="G45">
        <v>3</v>
      </c>
      <c r="H45">
        <v>4</v>
      </c>
    </row>
    <row r="47" spans="3:10" ht="30">
      <c r="C47" s="2" t="s">
        <v>6</v>
      </c>
      <c r="D47" t="s">
        <v>12</v>
      </c>
      <c r="E47" t="s">
        <v>14</v>
      </c>
      <c r="F47" t="s">
        <v>16</v>
      </c>
      <c r="G47" t="s">
        <v>15</v>
      </c>
      <c r="H47" t="s">
        <v>13</v>
      </c>
      <c r="J47" s="1">
        <v>9</v>
      </c>
    </row>
    <row r="48" spans="3:10">
      <c r="D48">
        <v>4</v>
      </c>
      <c r="E48">
        <v>3</v>
      </c>
      <c r="F48">
        <v>2</v>
      </c>
      <c r="G48">
        <v>1</v>
      </c>
      <c r="H48">
        <v>0</v>
      </c>
    </row>
    <row r="50" spans="3:10">
      <c r="C50" s="2" t="s">
        <v>4</v>
      </c>
      <c r="D50" t="s">
        <v>12</v>
      </c>
      <c r="E50" t="s">
        <v>14</v>
      </c>
      <c r="F50" t="s">
        <v>16</v>
      </c>
      <c r="G50" t="s">
        <v>15</v>
      </c>
      <c r="H50" t="s">
        <v>13</v>
      </c>
      <c r="J50" s="1">
        <v>6</v>
      </c>
    </row>
    <row r="51" spans="3:10">
      <c r="D51">
        <v>4</v>
      </c>
      <c r="E51">
        <v>3</v>
      </c>
      <c r="F51">
        <v>2</v>
      </c>
      <c r="G51">
        <v>1</v>
      </c>
      <c r="H51">
        <v>0</v>
      </c>
    </row>
    <row r="53" spans="3:10">
      <c r="C53" s="2" t="s">
        <v>47</v>
      </c>
      <c r="D53" s="4" t="s">
        <v>42</v>
      </c>
      <c r="E53" s="4" t="s">
        <v>46</v>
      </c>
      <c r="F53" t="s">
        <v>43</v>
      </c>
      <c r="G53" t="s">
        <v>44</v>
      </c>
      <c r="H53" t="s">
        <v>45</v>
      </c>
      <c r="J53" s="1">
        <v>19</v>
      </c>
    </row>
    <row r="54" spans="3:10">
      <c r="D54">
        <v>0</v>
      </c>
      <c r="E54">
        <v>1</v>
      </c>
      <c r="F54">
        <v>2</v>
      </c>
      <c r="G54">
        <v>3</v>
      </c>
      <c r="H54">
        <v>4</v>
      </c>
    </row>
    <row r="56" spans="3:10" ht="30">
      <c r="C56" s="2" t="s">
        <v>8</v>
      </c>
      <c r="D56" t="s">
        <v>28</v>
      </c>
      <c r="E56" t="s">
        <v>24</v>
      </c>
      <c r="F56" t="s">
        <v>25</v>
      </c>
      <c r="G56" t="s">
        <v>27</v>
      </c>
      <c r="H56" t="s">
        <v>26</v>
      </c>
      <c r="J56" s="1">
        <v>15</v>
      </c>
    </row>
    <row r="57" spans="3:10">
      <c r="D57">
        <v>0</v>
      </c>
      <c r="E57">
        <v>1</v>
      </c>
      <c r="F57">
        <v>2</v>
      </c>
      <c r="G57">
        <v>3</v>
      </c>
      <c r="H57">
        <v>4</v>
      </c>
    </row>
    <row r="59" spans="3:10">
      <c r="C59" s="2" t="s">
        <v>11</v>
      </c>
      <c r="D59" t="s">
        <v>12</v>
      </c>
      <c r="E59" t="s">
        <v>14</v>
      </c>
      <c r="F59" t="s">
        <v>16</v>
      </c>
      <c r="G59" t="s">
        <v>15</v>
      </c>
      <c r="H59" t="s">
        <v>13</v>
      </c>
      <c r="J59" s="1">
        <v>3</v>
      </c>
    </row>
    <row r="60" spans="3:10">
      <c r="D60">
        <v>4</v>
      </c>
      <c r="E60">
        <v>3</v>
      </c>
      <c r="F60">
        <v>2</v>
      </c>
      <c r="G60">
        <v>1</v>
      </c>
      <c r="H60">
        <v>0</v>
      </c>
    </row>
    <row r="62" spans="3:10">
      <c r="C62" s="2" t="s">
        <v>7</v>
      </c>
      <c r="D62" t="s">
        <v>12</v>
      </c>
      <c r="E62" t="s">
        <v>14</v>
      </c>
      <c r="F62" t="s">
        <v>16</v>
      </c>
      <c r="G62" t="s">
        <v>15</v>
      </c>
      <c r="H62" t="s">
        <v>13</v>
      </c>
      <c r="J62" s="1">
        <v>13</v>
      </c>
    </row>
    <row r="63" spans="3:10">
      <c r="D63">
        <v>0</v>
      </c>
      <c r="E63">
        <v>1</v>
      </c>
      <c r="F63">
        <v>2</v>
      </c>
      <c r="G63">
        <v>3</v>
      </c>
      <c r="H63">
        <v>4</v>
      </c>
    </row>
  </sheetData>
  <mergeCells count="1">
    <mergeCell ref="D3:H3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tabColor rgb="FF3366FF"/>
  </sheetPr>
  <dimension ref="B1:AI19"/>
  <sheetViews>
    <sheetView tabSelected="1" zoomScale="85" zoomScaleNormal="85" zoomScalePageLayoutView="90" workbookViewId="0">
      <selection activeCell="I2" sqref="I2:L2"/>
    </sheetView>
  </sheetViews>
  <sheetFormatPr defaultColWidth="8.85546875" defaultRowHeight="15"/>
  <cols>
    <col min="2" max="2" width="22.28515625" bestFit="1" customWidth="1"/>
    <col min="3" max="3" width="31" customWidth="1"/>
    <col min="4" max="4" width="11.28515625" customWidth="1"/>
    <col min="5" max="5" width="11.7109375" customWidth="1"/>
    <col min="6" max="6" width="7.28515625" customWidth="1"/>
    <col min="7" max="8" width="8.42578125" customWidth="1"/>
    <col min="9" max="9" width="14.7109375" customWidth="1"/>
    <col min="10" max="10" width="17.42578125" customWidth="1"/>
    <col min="11" max="11" width="16.85546875" customWidth="1"/>
    <col min="12" max="12" width="18.28515625" customWidth="1"/>
    <col min="13" max="13" width="7" customWidth="1"/>
    <col min="14" max="14" width="13.42578125" customWidth="1"/>
    <col min="18" max="18" width="14.42578125" bestFit="1" customWidth="1"/>
    <col min="19" max="19" width="8.42578125" bestFit="1" customWidth="1"/>
  </cols>
  <sheetData>
    <row r="1" spans="2:35" s="5" customFormat="1">
      <c r="F1" s="5">
        <v>0.02</v>
      </c>
      <c r="G1" s="5">
        <v>0.05</v>
      </c>
      <c r="H1" s="5">
        <v>0.08</v>
      </c>
      <c r="I1" s="5">
        <v>0.12</v>
      </c>
      <c r="J1" s="5">
        <v>0.15</v>
      </c>
      <c r="K1" s="5">
        <v>0.18</v>
      </c>
      <c r="L1" s="5">
        <v>0.2</v>
      </c>
      <c r="M1" s="5">
        <v>0.25</v>
      </c>
      <c r="N1" s="5">
        <v>0.18</v>
      </c>
      <c r="R1" s="5" t="s">
        <v>76</v>
      </c>
    </row>
    <row r="2" spans="2:35" ht="30">
      <c r="B2" s="2" t="s">
        <v>53</v>
      </c>
      <c r="C2" t="s">
        <v>68</v>
      </c>
      <c r="D2" t="s">
        <v>60</v>
      </c>
      <c r="E2" t="s">
        <v>61</v>
      </c>
      <c r="F2" t="s">
        <v>62</v>
      </c>
      <c r="G2" t="s">
        <v>69</v>
      </c>
      <c r="H2" t="s">
        <v>77</v>
      </c>
      <c r="I2" t="s">
        <v>70</v>
      </c>
      <c r="J2" t="s">
        <v>71</v>
      </c>
      <c r="K2" t="s">
        <v>72</v>
      </c>
      <c r="L2" t="s">
        <v>73</v>
      </c>
      <c r="M2" t="s">
        <v>59</v>
      </c>
      <c r="N2" t="s">
        <v>58</v>
      </c>
      <c r="O2" t="s">
        <v>63</v>
      </c>
      <c r="R2" t="s">
        <v>74</v>
      </c>
      <c r="S2" s="2" t="s">
        <v>75</v>
      </c>
    </row>
    <row r="3" spans="2:35">
      <c r="B3" s="2" t="s">
        <v>49</v>
      </c>
      <c r="C3" t="s">
        <v>54</v>
      </c>
      <c r="D3">
        <v>0</v>
      </c>
      <c r="E3">
        <v>20</v>
      </c>
      <c r="F3" s="5">
        <v>0.05</v>
      </c>
      <c r="G3" s="4">
        <v>0.05</v>
      </c>
      <c r="H3" s="4">
        <v>0.3</v>
      </c>
      <c r="I3" s="4">
        <v>0.3</v>
      </c>
      <c r="J3" s="4">
        <v>0.3</v>
      </c>
      <c r="K3" s="4">
        <v>0</v>
      </c>
      <c r="L3" s="4">
        <v>0</v>
      </c>
      <c r="M3" s="4">
        <v>0</v>
      </c>
      <c r="N3" s="4">
        <v>0</v>
      </c>
      <c r="O3" s="4">
        <f>SUM(F3:N3)</f>
        <v>1</v>
      </c>
      <c r="Q3" s="10">
        <f>F3*$F$1+G3*$G$1+H3*$H$1+I3*$I$1+J3*$J$1+K3*$K$1+L3*$L$1+M3*$M$1+N3*$N$1</f>
        <v>0.1085</v>
      </c>
      <c r="R3">
        <v>10</v>
      </c>
      <c r="S3" s="2"/>
      <c r="W3" s="5"/>
      <c r="X3" s="4"/>
      <c r="Y3" s="4"/>
      <c r="Z3" s="4"/>
      <c r="AA3" s="4"/>
      <c r="AB3" s="4"/>
      <c r="AC3" s="4"/>
      <c r="AD3" s="4"/>
      <c r="AE3" s="4"/>
      <c r="AF3" s="4"/>
      <c r="AG3" s="4"/>
      <c r="AI3" s="4"/>
    </row>
    <row r="4" spans="2:35" ht="30">
      <c r="B4" s="2" t="s">
        <v>50</v>
      </c>
      <c r="C4" t="s">
        <v>41</v>
      </c>
      <c r="D4">
        <v>21</v>
      </c>
      <c r="E4">
        <v>40</v>
      </c>
      <c r="F4" s="5">
        <v>0.05</v>
      </c>
      <c r="G4" s="5">
        <v>0.05</v>
      </c>
      <c r="H4" s="5">
        <v>0.2</v>
      </c>
      <c r="I4" s="5">
        <v>0.25</v>
      </c>
      <c r="J4" s="5">
        <v>0.35</v>
      </c>
      <c r="K4" s="5">
        <v>0.1</v>
      </c>
      <c r="L4" s="5">
        <v>0</v>
      </c>
      <c r="M4" s="5">
        <v>0</v>
      </c>
      <c r="N4" s="5">
        <v>0</v>
      </c>
      <c r="O4" s="4">
        <f>SUM(F4:N4)</f>
        <v>1</v>
      </c>
      <c r="Q4" s="10">
        <f t="shared" ref="Q4:Q7" si="0">F4*$F$1+G4*$G$1+H4*$H$1+I4*$I$1+J4*$J$1+K4*$K$1+L4*$L$1+M4*$M$1+N4*$N$1</f>
        <v>0.12000000000000001</v>
      </c>
      <c r="R4">
        <v>12</v>
      </c>
      <c r="S4" s="2"/>
      <c r="W4" s="5"/>
      <c r="AG4" s="4"/>
      <c r="AI4" s="4"/>
    </row>
    <row r="5" spans="2:35">
      <c r="B5" s="2" t="s">
        <v>25</v>
      </c>
      <c r="C5" t="s">
        <v>57</v>
      </c>
      <c r="D5">
        <v>41</v>
      </c>
      <c r="E5">
        <v>60</v>
      </c>
      <c r="F5" s="5">
        <v>0.05</v>
      </c>
      <c r="G5" s="5">
        <v>0.05</v>
      </c>
      <c r="H5" s="5">
        <v>0.1</v>
      </c>
      <c r="I5" s="5">
        <v>0.2</v>
      </c>
      <c r="J5" s="5">
        <v>0.3</v>
      </c>
      <c r="K5" s="5">
        <v>0.2</v>
      </c>
      <c r="L5" s="5">
        <v>0.1</v>
      </c>
      <c r="M5" s="5">
        <v>0</v>
      </c>
      <c r="N5" s="5">
        <v>0</v>
      </c>
      <c r="O5" s="4">
        <f>SUM(F5:N5)</f>
        <v>0.99999999999999989</v>
      </c>
      <c r="Q5" s="10">
        <f t="shared" si="0"/>
        <v>0.13650000000000001</v>
      </c>
      <c r="R5">
        <v>14</v>
      </c>
      <c r="S5" s="2"/>
      <c r="W5" s="5"/>
      <c r="AG5" s="4"/>
      <c r="AI5" s="4"/>
    </row>
    <row r="6" spans="2:35">
      <c r="B6" s="2" t="s">
        <v>51</v>
      </c>
      <c r="C6" t="s">
        <v>56</v>
      </c>
      <c r="D6">
        <v>61</v>
      </c>
      <c r="E6">
        <v>80</v>
      </c>
      <c r="F6" s="5">
        <v>0.05</v>
      </c>
      <c r="G6" s="5">
        <v>0.05</v>
      </c>
      <c r="H6" s="5">
        <v>0.05</v>
      </c>
      <c r="I6" s="5">
        <v>0.15</v>
      </c>
      <c r="J6" s="5">
        <v>0.2</v>
      </c>
      <c r="K6" s="5">
        <v>0.2</v>
      </c>
      <c r="L6" s="5">
        <v>0.2</v>
      </c>
      <c r="M6" s="5">
        <v>0.1</v>
      </c>
      <c r="N6" s="5">
        <v>0</v>
      </c>
      <c r="O6" s="4">
        <f>SUM(F6:N6)</f>
        <v>0.99999999999999989</v>
      </c>
      <c r="Q6" s="10">
        <f t="shared" si="0"/>
        <v>0.1565</v>
      </c>
      <c r="R6">
        <v>16</v>
      </c>
      <c r="S6" s="2"/>
      <c r="W6" s="5"/>
      <c r="AG6" s="4"/>
      <c r="AI6" s="4"/>
    </row>
    <row r="7" spans="2:35">
      <c r="B7" s="2" t="s">
        <v>52</v>
      </c>
      <c r="C7" t="s">
        <v>55</v>
      </c>
      <c r="D7">
        <v>81</v>
      </c>
      <c r="E7">
        <v>100</v>
      </c>
      <c r="F7" s="5">
        <v>0.05</v>
      </c>
      <c r="G7" s="4">
        <v>0.05</v>
      </c>
      <c r="H7" s="4">
        <v>0.05</v>
      </c>
      <c r="I7" s="5">
        <v>0.05</v>
      </c>
      <c r="J7" s="4">
        <v>0.1</v>
      </c>
      <c r="K7" s="4">
        <v>0.2</v>
      </c>
      <c r="L7" s="4">
        <v>0.2</v>
      </c>
      <c r="M7" s="4">
        <v>0.2</v>
      </c>
      <c r="N7" s="4">
        <v>0.1</v>
      </c>
      <c r="O7" s="4">
        <f>SUM(F7:N7)</f>
        <v>0.99999999999999989</v>
      </c>
      <c r="Q7" s="10">
        <f t="shared" si="0"/>
        <v>0.17250000000000001</v>
      </c>
      <c r="R7">
        <v>18</v>
      </c>
      <c r="S7" s="2"/>
      <c r="W7" s="5"/>
      <c r="X7" s="4"/>
      <c r="Y7" s="4"/>
      <c r="Z7" s="5"/>
      <c r="AA7" s="4"/>
      <c r="AB7" s="4"/>
      <c r="AC7" s="4"/>
      <c r="AD7" s="4"/>
      <c r="AE7" s="4"/>
      <c r="AF7" s="4"/>
      <c r="AG7" s="4"/>
      <c r="AI7" s="4"/>
    </row>
    <row r="13" spans="2:35">
      <c r="C13" t="s">
        <v>88</v>
      </c>
    </row>
    <row r="14" spans="2:35">
      <c r="C14" s="12" t="s">
        <v>70</v>
      </c>
      <c r="F14" s="7"/>
    </row>
    <row r="15" spans="2:35">
      <c r="C15" s="12" t="s">
        <v>71</v>
      </c>
    </row>
    <row r="16" spans="2:35">
      <c r="C16" s="12" t="s">
        <v>72</v>
      </c>
    </row>
    <row r="17" spans="3:3">
      <c r="C17" s="12" t="s">
        <v>73</v>
      </c>
    </row>
    <row r="19" spans="3:3">
      <c r="C19" s="13" t="s">
        <v>89</v>
      </c>
    </row>
  </sheetData>
  <conditionalFormatting sqref="O3:O7">
    <cfRule type="cellIs" dxfId="7" priority="3" operator="lessThan">
      <formula>1</formula>
    </cfRule>
    <cfRule type="cellIs" dxfId="6" priority="4" operator="greaterThan">
      <formula>100</formula>
    </cfRule>
  </conditionalFormatting>
  <conditionalFormatting sqref="AG3:AG7">
    <cfRule type="cellIs" dxfId="5" priority="1" operator="lessThan">
      <formula>1</formula>
    </cfRule>
    <cfRule type="cellIs" dxfId="4" priority="2" operator="greaterThan">
      <formula>100</formula>
    </cfRule>
  </conditionalFormatting>
  <pageMargins left="0.7" right="0.7" top="0.75" bottom="0.75" header="0.3" footer="0.3"/>
  <pageSetup paperSize="9"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Questionnaire</vt:lpstr>
      <vt:lpstr>Portfolio 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2014-04-11T12:37:18Z</dcterms:modified>
</cp:coreProperties>
</file>